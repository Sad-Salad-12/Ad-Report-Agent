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af0efa620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954d1b755e0649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5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11"/>
      <x:color indexed="8"/>
      <x:name val="等线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5">
    <x:border/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vertical="center"/>
    </x:xf>
    <x:xf numFmtId="9" fontId="3" fillId="0" borderId="0" applyFont="0" applyFill="0" applyBorder="0" applyAlignment="0" applyProtection="0">
      <x:alignment vertical="center"/>
    </x:xf>
  </x:cellStyleXfs>
  <x:cellXfs count="19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3" xfId="0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2" fontId="1" fillId="2" borderId="4" xfId="0" applyNumberFormat="1" applyFont="1" applyFill="1" applyBorder="1" applyAlignment="1">
      <x:alignment horizontal="left" vertical="center"/>
    </x:xf>
    <x:xf numFmtId="0" fontId="1" fillId="2" borderId="4" xfId="0" applyFont="1" applyFill="1" applyBorder="1" applyAlignment="1">
      <x:alignment horizontal="left" vertical="center"/>
    </x:xf>
    <x:xf numFmtId="1" fontId="1" fillId="2" borderId="4" xfId="0" applyNumberFormat="1" applyFont="1" applyFill="1" applyBorder="1" applyAlignment="1">
      <x:alignment horizontal="left" vertical="center"/>
    </x:xf>
    <x:xf numFmtId="176" fontId="1" fillId="2" borderId="4" xfId="0" applyNumberFormat="1" applyFont="1" applyFill="1" applyBorder="1" applyAlignment="1">
      <x:alignment horizontal="left" vertical="center"/>
    </x:xf>
    <x:xf numFmtId="0" fontId="1" fillId="2" borderId="2" xfId="0" applyFont="1" applyFill="1" applyBorder="1" applyAlignment="1">
      <x:alignment horizontal="left" vertical="center"/>
    </x:xf>
    <x:xf numFmtId="10" fontId="1" fillId="2" borderId="4" xfId="1" applyNumberFormat="1" applyFont="1" applyFill="1" applyBorder="1" applyAlignment="1">
      <x:alignment horizontal="left" vertical="center"/>
    </x:xf>
    <x:xf numFmtId="10" fontId="1" fillId="2" borderId="4" xfId="0" applyNumberFormat="1" applyFont="1" applyFill="1" applyBorder="1" applyAlignment="1">
      <x:alignment horizontal="left" vertical="center"/>
    </x:xf>
    <x:xf numFmtId="0" fontId="2" fillId="2" borderId="3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2" fontId="1" fillId="2" borderId="4" xfId="0" applyNumberFormat="1" applyFont="1" applyFill="1" applyBorder="1" applyAlignment="1">
      <x:alignment horizontal="left" vertical="center" wrapText="0"/>
    </x:xf>
    <x:xf numFmtId="0" fontId="1" fillId="2" borderId="4" xfId="0" applyNumberFormat="1" applyFont="1" applyFill="1" applyBorder="1" applyAlignment="1">
      <x:alignment horizontal="left" vertical="center" wrapText="0"/>
    </x:xf>
    <x:xf numFmtId="10" fontId="1" fillId="2" borderId="4" xfId="0" applyNumberFormat="1" applyFont="1" applyFill="1" applyBorder="1" applyAlignment="1">
      <x:alignment horizontal="left" vertical="center" wrapText="0"/>
    </x:xf>
    <x:xf numFmtId="1" fontId="1" fillId="2" borderId="4" xfId="0" applyNumberFormat="1" applyFont="1" applyFill="1" applyBorder="1" applyAlignment="1">
      <x:alignment horizontal="left" vertical="center" wrapText="0"/>
    </x:xf>
    <x:xf numFmtId="176" fontId="1" fillId="2" borderId="4" xfId="0" applyNumberFormat="1" applyFont="1" applyFill="1" applyBorder="1" applyAlignment="1">
      <x:alignment horizontal="left" vertical="center" wrapText="0"/>
    </x:xf>
    <x:xf numFmtId="0" fontId="2" fillId="2" borderId="3" xfId="0" applyNumberFormat="1" applyFont="1" applyFill="1" applyBorder="1" applyAlignment="1">
      <x:alignment horizontal="left" vertical="center" wrapText="1"/>
    </x:xf>
  </x:cellXfs>
  <x:cellStyles count="2">
    <x:cellStyle name="百分比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fd5d84c4c4f46" /><Relationship Type="http://schemas.openxmlformats.org/officeDocument/2006/relationships/theme" Target="/xl/theme/theme1.xml" Id="R599e75fe546f42e4" /><Relationship Type="http://schemas.openxmlformats.org/officeDocument/2006/relationships/sharedStrings" Target="/xl/sharedStrings.xml" Id="R6d06eaec705c4b3d" /><Relationship Type="http://schemas.openxmlformats.org/officeDocument/2006/relationships/worksheet" Target="/xl/worksheets/sheet1.xml" Id="R954d1b755e06490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4.439998626708984" style="1" hidden="0" customWidth="1"/>
    <x:col min="2" max="9" width="23.5" style="1" customWidth="1"/>
    <x:col min="10" max="10" width="13.329999923706055" style="8" hidden="0" customWidth="1"/>
    <x:col min="11" max="18" width="23.5" style="1" customWidth="1"/>
    <x:col min="19" max="16384" width="12.6640625" style="1" customWidth="0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  <x:col min="14" max="14" width="13.329999923706055" hidden="0" customWidth="1"/>
    <x:col min="15" max="15" width="13.329999923706055" hidden="0" customWidth="1"/>
    <x:col min="16" max="16" width="13.329999923706055" hidden="0" customWidth="1"/>
    <x:col min="17" max="17" width="11.5600004196167" hidden="0" customWidth="1"/>
    <x:col min="18" max="18" width="11.5600004196167" hidden="0" customWidth="1"/>
  </x:cols>
  <x:sheetData>
    <x:row r="1" ht="39" customHeight="1">
      <x:c r="A1" s="18" t="str">
        <x:v>Campaign name</x:v>
      </x:c>
      <x:c r="B1" s="18" t="str">
        <x:v>Amount spent (USD)</x:v>
      </x:c>
      <x:c r="C1" s="18" t="str">
        <x:v>Purchases conversion value</x:v>
      </x:c>
      <x:c r="D1" s="18" t="str">
        <x:v>Purchase ROAS (return on ad spend)</x:v>
      </x:c>
      <x:c r="E1" s="18" t="str">
        <x:v>Purchases</x:v>
      </x:c>
      <x:c r="F1" s="18" t="str">
        <x:v>Adds to cart</x:v>
      </x:c>
      <x:c r="G1" s="18" t="str">
        <x:v>Cost per purchase</x:v>
      </x:c>
      <x:c r="H1" s="18" t="str">
        <x:v>Cost per add to cart</x:v>
      </x:c>
      <x:c r="I1" s="18" t="str">
        <x:v>Purchases rate per landing page views</x:v>
      </x:c>
      <x:c r="J1" s="18" t="str">
        <x:v>Add to cart Rate</x:v>
      </x:c>
      <x:c r="K1" s="18" t="str">
        <x:v>Impressions</x:v>
      </x:c>
      <x:c r="L1" s="18" t="str">
        <x:v>Link clicks</x:v>
      </x:c>
      <x:c r="M1" s="18" t="str">
        <x:v>CTR (link click-through rate)</x:v>
      </x:c>
      <x:c r="N1" s="18" t="str">
        <x:v>CPM (cost per 1,000 impressions)</x:v>
      </x:c>
      <x:c r="O1" s="18" t="str">
        <x:v>CPC (cost per link click)</x:v>
      </x:c>
      <x:c r="P1" s="18" t="str">
        <x:v>BRAND A: website Purchase average order value (USD)</x:v>
      </x:c>
      <x:c r="Q1" s="18" t="str">
        <x:v>Reporting starts</x:v>
      </x:c>
      <x:c r="R1" s="18" t="str">
        <x:v>Reporting ends</x:v>
      </x:c>
    </x:row>
    <x:row r="2">
      <x:c r="A2" s="12" t="str">
        <x:v>BRAND A | CAMPAIGN-001 | PRODUCT ALPHA | CONVERSION</x:v>
      </x:c>
      <x:c r="B2" s="13" t="n">
        <x:v>1270</x:v>
      </x:c>
      <x:c r="C2" s="14" t="n">
        <x:v>3266</x:v>
      </x:c>
      <x:c r="D2" s="13" t="n">
        <x:f>C2/B2</x:f>
        <x:v>2.5716535433070864</x:v>
      </x:c>
      <x:c r="E2" s="14" t="n">
        <x:v>20</x:v>
      </x:c>
      <x:c r="F2" s="14" t="n">
        <x:v>88</x:v>
      </x:c>
      <x:c r="G2" s="13" t="n">
        <x:f>B2/E2</x:f>
        <x:v>63.5</x:v>
      </x:c>
      <x:c r="H2" s="13" t="n">
        <x:f>B2/F2</x:f>
        <x:v>14.431818181818182</x:v>
      </x:c>
      <x:c r="I2" s="15" t="n">
        <x:v>0.00571429</x:v>
      </x:c>
      <x:c r="J2" s="15" t="n">
        <x:f>F2/L2</x:f>
        <x:v>0.025142857142857144</x:v>
      </x:c>
      <x:c r="K2" s="16" t="n">
        <x:v>410000</x:v>
      </x:c>
      <x:c r="L2" s="14" t="n">
        <x:v>3500</x:v>
      </x:c>
      <x:c r="M2" s="13" t="n">
        <x:f>L2/K2*100</x:f>
        <x:v>0.853658536585366</x:v>
      </x:c>
      <x:c r="N2" s="13" t="n">
        <x:f>B2/K2*1000</x:f>
        <x:v>3.097560975609756</x:v>
      </x:c>
      <x:c r="O2" s="13" t="n">
        <x:f>B2/L2</x:f>
        <x:v>0.3628571428571429</x:v>
      </x:c>
      <x:c r="P2" s="13" t="n">
        <x:f>C2/E2</x:f>
        <x:v>163.3</x:v>
      </x:c>
      <x:c r="Q2" s="17" t="str">
        <x:v>2025-01-06</x:v>
      </x:c>
      <x:c r="R2" s="17" t="str">
        <x:v>2025-01-12</x:v>
      </x:c>
    </x:row>
    <x:row r="3">
      <x:c r="A3" s="12" t="str">
        <x:v>BRAND A | CAMPAIGN-002 | PRODUCT BETA | CONVERSION</x:v>
      </x:c>
      <x:c r="B3" s="13" t="n">
        <x:v>870</x:v>
      </x:c>
      <x:c r="C3" s="14" t="n">
        <x:v>1862</x:v>
      </x:c>
      <x:c r="D3" s="13" t="n">
        <x:f>C3/B3</x:f>
        <x:v>2.1402298850574715</x:v>
      </x:c>
      <x:c r="E3" s="14" t="n">
        <x:v>13</x:v>
      </x:c>
      <x:c r="F3" s="14" t="n">
        <x:v>65</x:v>
      </x:c>
      <x:c r="G3" s="13" t="n">
        <x:f>B3/E3</x:f>
        <x:v>66.92307692307692</x:v>
      </x:c>
      <x:c r="H3" s="13" t="n">
        <x:f>B3/F3</x:f>
        <x:v>13.384615384615385</x:v>
      </x:c>
      <x:c r="I3" s="15" t="n">
        <x:v>0.00530612</x:v>
      </x:c>
      <x:c r="J3" s="15" t="n">
        <x:f t="shared" ref="J3:J4" si="0">F3/L3</x:f>
        <x:v>0.026530612244897958</x:v>
      </x:c>
      <x:c r="K3" s="16" t="n">
        <x:v>290000</x:v>
      </x:c>
      <x:c r="L3" s="14" t="n">
        <x:v>2450</x:v>
      </x:c>
      <x:c r="M3" s="13" t="n">
        <x:f>L3/K3*100</x:f>
        <x:v>0.8448275862068965</x:v>
      </x:c>
      <x:c r="N3" s="13" t="n">
        <x:f>B3/K3*1000</x:f>
        <x:v>3</x:v>
      </x:c>
      <x:c r="O3" s="13" t="n">
        <x:f>B3/L3</x:f>
        <x:v>0.3551020408163265</x:v>
      </x:c>
      <x:c r="P3" s="13" t="n">
        <x:f>C3/E3</x:f>
        <x:v>143.23076923076923</x:v>
      </x:c>
      <x:c r="Q3" s="17" t="str">
        <x:v>2025-01-06</x:v>
      </x:c>
      <x:c r="R3" s="17" t="str">
        <x:v>2025-01-12</x:v>
      </x:c>
    </x:row>
    <x:row r="4">
      <x:c r="A4" s="12" t="str">
        <x:v>BRAND A | CAMPAIGN-003 | PRODUCT GAMMA | CONVERSION</x:v>
      </x:c>
      <x:c r="B4" s="13" t="n">
        <x:v>540</x:v>
      </x:c>
      <x:c r="C4" s="14" t="n">
        <x:v>1180</x:v>
      </x:c>
      <x:c r="D4" s="13" t="n">
        <x:f>C4/B4</x:f>
        <x:v>2.185185185185185</x:v>
      </x:c>
      <x:c r="E4" s="14" t="n">
        <x:v>6</x:v>
      </x:c>
      <x:c r="F4" s="14" t="n">
        <x:v>39</x:v>
      </x:c>
      <x:c r="G4" s="13" t="n">
        <x:f>B4/E4</x:f>
        <x:v>90</x:v>
      </x:c>
      <x:c r="H4" s="13" t="n">
        <x:f>B4/F4</x:f>
        <x:v>13.846153846153847</x:v>
      </x:c>
      <x:c r="I4" s="15" t="n">
        <x:v>0.00387097</x:v>
      </x:c>
      <x:c r="J4" s="15" t="n">
        <x:f t="shared" si="0">F4/L4</x:f>
        <x:v>0.025161290322580646</x:v>
      </x:c>
      <x:c r="K4" s="16" t="n">
        <x:v>180000</x:v>
      </x:c>
      <x:c r="L4" s="14" t="n">
        <x:v>1550</x:v>
      </x:c>
      <x:c r="M4" s="13" t="n">
        <x:f>L4/K4*100</x:f>
        <x:v>0.8611111111111112</x:v>
      </x:c>
      <x:c r="N4" s="13" t="n">
        <x:f>B4/K4*1000</x:f>
        <x:v>3</x:v>
      </x:c>
      <x:c r="O4" s="13" t="n">
        <x:f>B4/L4</x:f>
        <x:v>0.34838709677419355</x:v>
      </x:c>
      <x:c r="P4" s="13" t="n">
        <x:f>C4/E4</x:f>
        <x:v>196.66666666666666</x:v>
      </x:c>
      <x:c r="Q4" s="17" t="str">
        <x:v>2025-01-06</x:v>
      </x:c>
      <x:c r="R4" s="17" t="str">
        <x:v>2025-01-12</x:v>
      </x:c>
    </x:row>
    <x:row r="5">
      <x:c r="A5" s="12" t="str">
        <x:v>BRAND A | CAMPAIGN-004 | PRODUCT BETA | TRAFFIC</x:v>
      </x:c>
      <x:c r="B5" s="13" t="n">
        <x:v>110</x:v>
      </x:c>
      <x:c r="C5" s="14"/>
      <x:c r="D5" s="14"/>
      <x:c r="E5" s="14"/>
      <x:c r="F5" s="14"/>
      <x:c r="G5" s="14"/>
      <x:c r="H5" s="14"/>
      <x:c r="I5" s="14" t="n">
        <x:v>0</x:v>
      </x:c>
      <x:c r="J5" s="14"/>
      <x:c r="K5" s="16" t="n">
        <x:v>45000</x:v>
      </x:c>
      <x:c r="L5" s="14" t="n">
        <x:v>1350</x:v>
      </x:c>
      <x:c r="M5" s="13" t="n">
        <x:v>3</x:v>
      </x:c>
      <x:c r="N5" s="13" t="n">
        <x:v>2.44444444</x:v>
      </x:c>
      <x:c r="O5" s="13" t="n">
        <x:v>0.08148148</x:v>
      </x:c>
      <x:c r="P5" s="13"/>
      <x:c r="Q5" s="17" t="str">
        <x:v>2025-01-06</x:v>
      </x:c>
      <x:c r="R5" s="17" t="str">
        <x:v>2025-01-12</x:v>
      </x:c>
    </x:row>
    <x:row r="6">
      <x:c r="A6" s="12" t="str">
        <x:v>BRAND A | CAMPAIGN-005 | PRODUCT ALPHA | TRAFFIC</x:v>
      </x:c>
      <x:c r="B6" s="13" t="n">
        <x:v>150</x:v>
      </x:c>
      <x:c r="C6" s="14"/>
      <x:c r="D6" s="14"/>
      <x:c r="E6" s="14"/>
      <x:c r="F6" s="14"/>
      <x:c r="G6" s="14"/>
      <x:c r="H6" s="14"/>
      <x:c r="I6" s="14" t="n">
        <x:v>0</x:v>
      </x:c>
      <x:c r="J6" s="14"/>
      <x:c r="K6" s="16" t="n">
        <x:v>60000</x:v>
      </x:c>
      <x:c r="L6" s="14" t="n">
        <x:v>1800</x:v>
      </x:c>
      <x:c r="M6" s="13" t="n">
        <x:v>3</x:v>
      </x:c>
      <x:c r="N6" s="13" t="n">
        <x:v>2.5</x:v>
      </x:c>
      <x:c r="O6" s="13" t="n">
        <x:v>0.08333333</x:v>
      </x:c>
      <x:c r="P6" s="13"/>
      <x:c r="Q6" s="17" t="str">
        <x:v>2025-01-06</x:v>
      </x:c>
      <x:c r="R6" s="17" t="str">
        <x:v>2025-01-12</x:v>
      </x:c>
    </x:row>
    <x:row r="7">
      <x:c r="A7" s="12" t="str">
        <x:v>BRAND A | CAMPAIGN-006 | PRODUCT GAMMA | TRAFFIC</x:v>
      </x:c>
      <x:c r="B7" s="13" t="n">
        <x:v>80</x:v>
      </x:c>
      <x:c r="C7" s="14"/>
      <x:c r="D7" s="14"/>
      <x:c r="E7" s="14"/>
      <x:c r="F7" s="14"/>
      <x:c r="G7" s="14"/>
      <x:c r="H7" s="14"/>
      <x:c r="I7" s="14" t="n">
        <x:v>0</x:v>
      </x:c>
      <x:c r="J7" s="14"/>
      <x:c r="K7" s="16" t="n">
        <x:v>35000</x:v>
      </x:c>
      <x:c r="L7" s="14" t="n">
        <x:v>900</x:v>
      </x:c>
      <x:c r="M7" s="13" t="n">
        <x:v>2.571429</x:v>
      </x:c>
      <x:c r="N7" s="13" t="n">
        <x:v>2.28571429</x:v>
      </x:c>
      <x:c r="O7" s="13" t="n">
        <x:v>0.08888889</x:v>
      </x:c>
      <x:c r="P7" s="13"/>
      <x:c r="Q7" s="17" t="str">
        <x:v>2025-01-06</x:v>
      </x:c>
      <x:c r="R7" s="17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ANONYMIZED DEMO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ANONYMIZED</dc:creator>
  <cp:lastModifiedBy>ANONYMIZED</cp:lastModifiedBy>
  <cp:category>SYNTHETIC DEMO DATA</cp:category>
</cp:coreProperties>
</file>