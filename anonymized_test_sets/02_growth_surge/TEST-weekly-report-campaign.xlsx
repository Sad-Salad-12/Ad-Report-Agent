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8622f124c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c437325ee6cb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indexed="8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vertical="center"/>
    </x:xf>
    <x:xf numFmtId="9" fontId="3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2" fontId="1" fillId="2" borderId="4" xfId="0" applyNumberFormat="1" applyFont="1" applyFill="1" applyBorder="1" applyAlignment="1">
      <x:alignment horizontal="left" vertical="center"/>
    </x:xf>
    <x:xf numFmtId="0" fontId="1" fillId="2" borderId="4" xfId="0" applyFont="1" applyFill="1" applyBorder="1" applyAlignment="1">
      <x:alignment horizontal="left" vertical="center"/>
    </x:xf>
    <x:xf numFmtId="1" fontId="1" fillId="2" borderId="4" xfId="0" applyNumberFormat="1" applyFont="1" applyFill="1" applyBorder="1" applyAlignment="1">
      <x:alignment horizontal="left" vertical="center"/>
    </x:xf>
    <x:xf numFmtId="176" fontId="1" fillId="2" borderId="4" xfId="0" applyNumberFormat="1" applyFont="1" applyFill="1" applyBorder="1" applyAlignment="1">
      <x:alignment horizontal="left" vertical="center"/>
    </x:xf>
    <x:xf numFmtId="0" fontId="1" fillId="2" borderId="2" xfId="0" applyFont="1" applyFill="1" applyBorder="1" applyAlignment="1">
      <x:alignment horizontal="left" vertical="center"/>
    </x:xf>
    <x:xf numFmtId="10" fontId="1" fillId="2" borderId="4" xfId="1" applyNumberFormat="1" applyFont="1" applyFill="1" applyBorder="1" applyAlignment="1">
      <x:alignment horizontal="left" vertical="center"/>
    </x:xf>
    <x:xf numFmtId="10" fontId="1" fillId="2" borderId="4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10" fontId="1" fillId="2" borderId="4" xfId="0" applyNumberFormat="1" applyFont="1" applyFill="1" applyBorder="1" applyAlignment="1">
      <x:alignment horizontal="left" vertical="center" wrapText="0"/>
    </x:xf>
    <x:xf numFmtId="1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1"/>
    </x:xf>
  </x:cellXfs>
  <x:cellStyles count="2">
    <x:cellStyle name="百分比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5df6d154544e5" /><Relationship Type="http://schemas.openxmlformats.org/officeDocument/2006/relationships/theme" Target="/xl/theme/theme1.xml" Id="Rd839a5ae7ab8435b" /><Relationship Type="http://schemas.openxmlformats.org/officeDocument/2006/relationships/sharedStrings" Target="/xl/sharedStrings.xml" Id="R03d831dee6b342b5" /><Relationship Type="http://schemas.openxmlformats.org/officeDocument/2006/relationships/worksheet" Target="/xl/worksheets/sheet1.xml" Id="Rc437325ee6cb415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9" width="23.5" style="1" customWidth="1"/>
    <x:col min="10" max="10" width="13.329999923706055" style="8" hidden="0" customWidth="1"/>
    <x:col min="11" max="18" width="23.5" style="1" customWidth="1"/>
    <x:col min="19" max="16384" width="12.6640625" style="1" customWidth="0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1.5600004196167" hidden="0" customWidth="1"/>
    <x:col min="18" max="18" width="11.5600004196167" hidden="0" customWidth="1"/>
  </x:cols>
  <x:sheetData>
    <x:row r="1" ht="39" customHeight="1">
      <x:c r="A1" s="18" t="str">
        <x:v>Campaign name</x:v>
      </x:c>
      <x:c r="B1" s="18" t="str">
        <x:v>Amount spent (USD)</x:v>
      </x:c>
      <x:c r="C1" s="18" t="str">
        <x:v>Purchases conversion value</x:v>
      </x:c>
      <x:c r="D1" s="18" t="str">
        <x:v>Purchase ROAS (return on ad spend)</x:v>
      </x:c>
      <x:c r="E1" s="18" t="str">
        <x:v>Purchases</x:v>
      </x:c>
      <x:c r="F1" s="18" t="str">
        <x:v>Adds to cart</x:v>
      </x:c>
      <x:c r="G1" s="18" t="str">
        <x:v>Cost per purchase</x:v>
      </x:c>
      <x:c r="H1" s="18" t="str">
        <x:v>Cost per add to cart</x:v>
      </x:c>
      <x:c r="I1" s="18" t="str">
        <x:v>Purchases rate per landing page views</x:v>
      </x:c>
      <x:c r="J1" s="18" t="str">
        <x:v>Add to cart Rate</x:v>
      </x:c>
      <x:c r="K1" s="18" t="str">
        <x:v>Impressions</x:v>
      </x:c>
      <x:c r="L1" s="18" t="str">
        <x:v>Link clicks</x:v>
      </x:c>
      <x:c r="M1" s="18" t="str">
        <x:v>CTR (link click-through rate)</x:v>
      </x:c>
      <x:c r="N1" s="18" t="str">
        <x:v>CPM (cost per 1,000 impressions)</x:v>
      </x:c>
      <x:c r="O1" s="18" t="str">
        <x:v>CPC (cost per link click)</x:v>
      </x:c>
      <x:c r="P1" s="18" t="str">
        <x:v>BRAND A: website Purchase average order value (USD)</x:v>
      </x:c>
      <x:c r="Q1" s="18" t="str">
        <x:v>Reporting starts</x:v>
      </x:c>
      <x:c r="R1" s="18" t="str">
        <x:v>Reporting ends</x:v>
      </x:c>
    </x:row>
    <x:row r="2">
      <x:c r="A2" s="12" t="str">
        <x:v>PRODUCT ALPHA | C | CAMPAIGN-001</x:v>
      </x:c>
      <x:c r="B2" s="13" t="n">
        <x:v>1380</x:v>
      </x:c>
      <x:c r="C2" s="14" t="n">
        <x:v>3980</x:v>
      </x:c>
      <x:c r="D2" s="13" t="n">
        <x:f>C2/B2</x:f>
        <x:v>2.8840579710144927</x:v>
      </x:c>
      <x:c r="E2" s="14" t="n">
        <x:v>24</x:v>
      </x:c>
      <x:c r="F2" s="14" t="n">
        <x:v>102</x:v>
      </x:c>
      <x:c r="G2" s="13" t="n">
        <x:f>B2/E2</x:f>
        <x:v>57.5</x:v>
      </x:c>
      <x:c r="H2" s="13" t="n">
        <x:f>B2/F2</x:f>
        <x:v>13.529411764705882</x:v>
      </x:c>
      <x:c r="I2" s="15" t="n">
        <x:v>0.00631579</x:v>
      </x:c>
      <x:c r="J2" s="15" t="n">
        <x:f>F2/L2</x:f>
        <x:v>0.026842105263157896</x:v>
      </x:c>
      <x:c r="K2" s="16" t="n">
        <x:v>430000</x:v>
      </x:c>
      <x:c r="L2" s="14" t="n">
        <x:v>3800</x:v>
      </x:c>
      <x:c r="M2" s="13" t="n">
        <x:f>L2/K2*100</x:f>
        <x:v>0.8837209302325582</x:v>
      </x:c>
      <x:c r="N2" s="13" t="n">
        <x:f>B2/K2*1000</x:f>
        <x:v>3.2093023255813953</x:v>
      </x:c>
      <x:c r="O2" s="13" t="n">
        <x:f>B2/L2</x:f>
        <x:v>0.3631578947368421</x:v>
      </x:c>
      <x:c r="P2" s="13" t="n">
        <x:f>C2/E2</x:f>
        <x:v>165.83333333333334</x:v>
      </x:c>
      <x:c r="Q2" s="17" t="str">
        <x:v>2025-01-06</x:v>
      </x:c>
      <x:c r="R2" s="17" t="str">
        <x:v>2025-01-12</x:v>
      </x:c>
    </x:row>
    <x:row r="3">
      <x:c r="A3" s="12" t="str">
        <x:v>PRODUCT BETA | C | CAMPAIGN-002</x:v>
      </x:c>
      <x:c r="B3" s="13" t="n">
        <x:v>970</x:v>
      </x:c>
      <x:c r="C3" s="14" t="n">
        <x:v>2460</x:v>
      </x:c>
      <x:c r="D3" s="13" t="n">
        <x:f>C3/B3</x:f>
        <x:v>2.536082474226804</x:v>
      </x:c>
      <x:c r="E3" s="14" t="n">
        <x:v>17</x:v>
      </x:c>
      <x:c r="F3" s="14" t="n">
        <x:v>78</x:v>
      </x:c>
      <x:c r="G3" s="13" t="n">
        <x:f>B3/E3</x:f>
        <x:v>57.05882352941177</x:v>
      </x:c>
      <x:c r="H3" s="13" t="n">
        <x:f>B3/F3</x:f>
        <x:v>12.435897435897436</x:v>
      </x:c>
      <x:c r="I3" s="15" t="n">
        <x:v>0.0062963</x:v>
      </x:c>
      <x:c r="J3" s="15" t="n">
        <x:f t="shared" ref="J3:J4" si="0">F3/L3</x:f>
        <x:v>0.028888888888888888</x:v>
      </x:c>
      <x:c r="K3" s="16" t="n">
        <x:v>310000</x:v>
      </x:c>
      <x:c r="L3" s="14" t="n">
        <x:v>2700</x:v>
      </x:c>
      <x:c r="M3" s="13" t="n">
        <x:f>L3/K3*100</x:f>
        <x:v>0.8709677419354838</x:v>
      </x:c>
      <x:c r="N3" s="13" t="n">
        <x:f>B3/K3*1000</x:f>
        <x:v>3.1290322580645165</x:v>
      </x:c>
      <x:c r="O3" s="13" t="n">
        <x:f>B3/L3</x:f>
        <x:v>0.3592592592592593</x:v>
      </x:c>
      <x:c r="P3" s="13" t="n">
        <x:f>C3/E3</x:f>
        <x:v>144.7058823529412</x:v>
      </x:c>
      <x:c r="Q3" s="17" t="str">
        <x:v>2025-01-06</x:v>
      </x:c>
      <x:c r="R3" s="17" t="str">
        <x:v>2025-01-12</x:v>
      </x:c>
    </x:row>
    <x:row r="4">
      <x:c r="A4" s="12" t="str">
        <x:v>PRODUCT GAMMA | C | CAMPAIGN-003</x:v>
      </x:c>
      <x:c r="B4" s="13" t="n">
        <x:v>625</x:v>
      </x:c>
      <x:c r="C4" s="14" t="n">
        <x:v>1491</x:v>
      </x:c>
      <x:c r="D4" s="13" t="n">
        <x:f>C4/B4</x:f>
        <x:v>2.3856</x:v>
      </x:c>
      <x:c r="E4" s="14" t="n">
        <x:v>7</x:v>
      </x:c>
      <x:c r="F4" s="14" t="n">
        <x:v>48</x:v>
      </x:c>
      <x:c r="G4" s="13" t="n">
        <x:f>B4/E4</x:f>
        <x:v>89.28571428571429</x:v>
      </x:c>
      <x:c r="H4" s="13" t="n">
        <x:f>B4/F4</x:f>
        <x:v>13.020833333333334</x:v>
      </x:c>
      <x:c r="I4" s="15" t="n">
        <x:v>0.00424242</x:v>
      </x:c>
      <x:c r="J4" s="15" t="n">
        <x:f t="shared" si="0">F4/L4</x:f>
        <x:v>0.02909090909090909</x:v>
      </x:c>
      <x:c r="K4" s="16" t="n">
        <x:v>200000</x:v>
      </x:c>
      <x:c r="L4" s="14" t="n">
        <x:v>1650</x:v>
      </x:c>
      <x:c r="M4" s="13" t="n">
        <x:f>L4/K4*100</x:f>
        <x:v>0.8250000000000001</x:v>
      </x:c>
      <x:c r="N4" s="13" t="n">
        <x:f>B4/K4*1000</x:f>
        <x:v>3.125</x:v>
      </x:c>
      <x:c r="O4" s="13" t="n">
        <x:f>B4/L4</x:f>
        <x:v>0.3787878787878788</x:v>
      </x:c>
      <x:c r="P4" s="13" t="n">
        <x:f>C4/E4</x:f>
        <x:v>213</x:v>
      </x:c>
      <x:c r="Q4" s="17" t="str">
        <x:v>2025-01-06</x:v>
      </x:c>
      <x:c r="R4" s="17" t="str">
        <x:v>2025-01-12</x:v>
      </x:c>
    </x:row>
    <x:row r="5">
      <x:c r="A5" s="12" t="str">
        <x:v>PRODUCT BETA | T | CAMPAIGN-004</x:v>
      </x:c>
      <x:c r="B5" s="13" t="n">
        <x:v>130</x:v>
      </x:c>
      <x:c r="C5" s="14"/>
      <x:c r="D5" s="14"/>
      <x:c r="E5" s="14"/>
      <x:c r="F5" s="14"/>
      <x:c r="G5" s="14"/>
      <x:c r="H5" s="14"/>
      <x:c r="I5" s="14" t="n">
        <x:v>0</x:v>
      </x:c>
      <x:c r="J5" s="14"/>
      <x:c r="K5" s="16" t="n">
        <x:v>50000</x:v>
      </x:c>
      <x:c r="L5" s="14" t="n">
        <x:v>1500</x:v>
      </x:c>
      <x:c r="M5" s="13" t="n">
        <x:v>3</x:v>
      </x:c>
      <x:c r="N5" s="13" t="n">
        <x:v>2.6</x:v>
      </x:c>
      <x:c r="O5" s="13" t="n">
        <x:v>0.08666667</x:v>
      </x:c>
      <x:c r="P5" s="13"/>
      <x:c r="Q5" s="17" t="str">
        <x:v>2025-01-06</x:v>
      </x:c>
      <x:c r="R5" s="17" t="str">
        <x:v>2025-01-12</x:v>
      </x:c>
    </x:row>
    <x:row r="6">
      <x:c r="A6" s="12" t="str">
        <x:v>PRODUCT ALPHA | T | CAMPAIGN-005</x:v>
      </x:c>
      <x:c r="B6" s="13" t="n">
        <x:v>180</x:v>
      </x:c>
      <x:c r="C6" s="14"/>
      <x:c r="D6" s="14"/>
      <x:c r="E6" s="14"/>
      <x:c r="F6" s="14"/>
      <x:c r="G6" s="14"/>
      <x:c r="H6" s="14"/>
      <x:c r="I6" s="14" t="n">
        <x:v>0</x:v>
      </x:c>
      <x:c r="J6" s="14"/>
      <x:c r="K6" s="16" t="n">
        <x:v>70000</x:v>
      </x:c>
      <x:c r="L6" s="14" t="n">
        <x:v>2100</x:v>
      </x:c>
      <x:c r="M6" s="13" t="n">
        <x:v>3</x:v>
      </x:c>
      <x:c r="N6" s="13" t="n">
        <x:v>2.57142857</x:v>
      </x:c>
      <x:c r="O6" s="13" t="n">
        <x:v>0.08571429</x:v>
      </x:c>
      <x:c r="P6" s="13"/>
      <x:c r="Q6" s="17" t="str">
        <x:v>2025-01-06</x:v>
      </x:c>
      <x:c r="R6" s="17" t="str">
        <x:v>2025-01-12</x:v>
      </x:c>
    </x:row>
    <x:row r="7">
      <x:c r="A7" s="12" t="str">
        <x:v>PRODUCT GAMMA | T | CAMPAIGN-006</x:v>
      </x:c>
      <x:c r="B7" s="13" t="n">
        <x:v>90</x:v>
      </x:c>
      <x:c r="C7" s="14"/>
      <x:c r="D7" s="14"/>
      <x:c r="E7" s="14"/>
      <x:c r="F7" s="14"/>
      <x:c r="G7" s="14"/>
      <x:c r="H7" s="14"/>
      <x:c r="I7" s="14" t="n">
        <x:v>0</x:v>
      </x:c>
      <x:c r="J7" s="14"/>
      <x:c r="K7" s="16" t="n">
        <x:v>40000</x:v>
      </x:c>
      <x:c r="L7" s="14" t="n">
        <x:v>1050</x:v>
      </x:c>
      <x:c r="M7" s="13" t="n">
        <x:v>2.625</x:v>
      </x:c>
      <x:c r="N7" s="13" t="n">
        <x:v>2.25</x:v>
      </x:c>
      <x:c r="O7" s="13" t="n">
        <x:v>0.08571429</x:v>
      </x:c>
      <x:c r="P7" s="13"/>
      <x:c r="Q7" s="17" t="str">
        <x:v>2025-01-06</x:v>
      </x:c>
      <x:c r="R7" s="17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