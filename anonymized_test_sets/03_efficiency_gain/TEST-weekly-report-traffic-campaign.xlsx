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cffd7b770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919d53015449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2" fontId="1" fillId="2" borderId="2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3bb269469474c" /><Relationship Type="http://schemas.openxmlformats.org/officeDocument/2006/relationships/theme" Target="/xl/theme/theme1.xml" Id="R868b94958d6c47ef" /><Relationship Type="http://schemas.openxmlformats.org/officeDocument/2006/relationships/sharedStrings" Target="/xl/sharedStrings.xml" Id="R9a0de14992f14baf" /><Relationship Type="http://schemas.openxmlformats.org/officeDocument/2006/relationships/worksheet" Target="/xl/worksheets/sheet1.xml" Id="R919d53015449454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4.439998626708984" style="1" hidden="0" customWidth="1"/>
    <x:col min="2" max="14" width="23.5" style="1" customWidth="1"/>
    <x:col min="15" max="16384" width="12.6640625" style="1" customWidth="0"/>
    <x:col min="2" max="2" width="13.779999732971191" hidden="0" customWidth="1"/>
    <x:col min="3" max="3" width="13.779999732971191" hidden="0" customWidth="1"/>
    <x:col min="4" max="4" width="13.779999732971191" hidden="0" customWidth="1"/>
    <x:col min="5" max="5" width="13.779999732971191" hidden="0" customWidth="1"/>
    <x:col min="6" max="6" width="13.779999732971191" hidden="0" customWidth="1"/>
    <x:col min="7" max="7" width="13.779999732971191" hidden="0" customWidth="1"/>
    <x:col min="8" max="8" width="13.779999732971191" hidden="0" customWidth="1"/>
    <x:col min="9" max="9" width="13.779999732971191" hidden="0" customWidth="1"/>
    <x:col min="10" max="10" width="13.779999732971191" hidden="0" customWidth="1"/>
    <x:col min="11" max="11" width="13.779999732971191" hidden="0" customWidth="1"/>
    <x:col min="12" max="12" width="13.779999732971191" hidden="0" customWidth="1"/>
    <x:col min="13" max="13" width="11.5600004196167" hidden="0" customWidth="1"/>
    <x:col min="14" max="14" width="11.5600004196167" hidden="0" customWidth="1"/>
  </x:cols>
  <x:sheetData>
    <x:row r="1" ht="39" customHeight="1">
      <x:c r="A1" s="10" t="str">
        <x:v>Campaign name</x:v>
      </x:c>
      <x:c r="B1" s="10" t="str">
        <x:v>Amount spent (USD)</x:v>
      </x:c>
      <x:c r="C1" s="10" t="str">
        <x:v>Purchases</x:v>
      </x:c>
      <x:c r="D1" s="10" t="str">
        <x:v>Adds to cart</x:v>
      </x:c>
      <x:c r="E1" s="10" t="str">
        <x:v>Impressions</x:v>
      </x:c>
      <x:c r="F1" s="10" t="str">
        <x:v>Link clicks</x:v>
      </x:c>
      <x:c r="G1" s="10" t="str">
        <x:v>CTR (link click-through rate)</x:v>
      </x:c>
      <x:c r="H1" s="10" t="str">
        <x:v>CPM (cost per 1,000 impressions)</x:v>
      </x:c>
      <x:c r="I1" s="10" t="str">
        <x:v>CPC (cost per link click)</x:v>
      </x:c>
      <x:c r="J1" s="10" t="str">
        <x:v>Landing page views</x:v>
      </x:c>
      <x:c r="K1" s="10" t="str">
        <x:v>Cost per landing page view</x:v>
      </x:c>
      <x:c r="L1" s="10" t="str">
        <x:v>Landing page views rate per link clicks</x:v>
      </x:c>
      <x:c r="M1" s="10" t="str">
        <x:v>Reporting starts</x:v>
      </x:c>
      <x:c r="N1" s="10" t="str">
        <x:v>Reporting ends</x:v>
      </x:c>
    </x:row>
    <x:row r="2">
      <x:c r="A2" s="7" t="str">
        <x:v>PRODUCT BETA | T | CAMPAIGN-004</x:v>
      </x:c>
      <x:c r="B2" s="8" t="n">
        <x:v>120</x:v>
      </x:c>
      <x:c r="C2" s="8" t="n">
        <x:v>0</x:v>
      </x:c>
      <x:c r="D2" s="8" t="n">
        <x:v>0</x:v>
      </x:c>
      <x:c r="E2" s="8" t="n">
        <x:v>48000</x:v>
      </x:c>
      <x:c r="F2" s="8" t="n">
        <x:v>1450</x:v>
      </x:c>
      <x:c r="G2" s="8" t="n">
        <x:f>F2/E2*100</x:f>
        <x:v>3.0208333333333335</x:v>
      </x:c>
      <x:c r="H2" s="8" t="n">
        <x:f>B2/E2*1000</x:f>
        <x:v>2.5</x:v>
      </x:c>
      <x:c r="I2" s="8" t="n">
        <x:f>B2/F2</x:f>
        <x:v>0.08275862068965517</x:v>
      </x:c>
      <x:c r="J2" s="8" t="n">
        <x:v>930</x:v>
      </x:c>
      <x:c r="K2" s="8" t="n">
        <x:f>B2/J2</x:f>
        <x:v>0.12903225806451613</x:v>
      </x:c>
      <x:c r="L2" s="8" t="n">
        <x:f>J2/F2*100</x:f>
        <x:v>64.13793103448275</x:v>
      </x:c>
      <x:c r="M2" s="9" t="str">
        <x:v>2025-01-06</x:v>
      </x:c>
      <x:c r="N2" s="9" t="str">
        <x:v>2025-01-12</x:v>
      </x:c>
    </x:row>
    <x:row r="3">
      <x:c r="A3" s="7" t="str">
        <x:v>PRODUCT ALPHA | T | CAMPAIGN-005</x:v>
      </x:c>
      <x:c r="B3" s="8" t="n">
        <x:v>150</x:v>
      </x:c>
      <x:c r="C3" s="8" t="n">
        <x:v>0</x:v>
      </x:c>
      <x:c r="D3" s="8" t="n">
        <x:v>0</x:v>
      </x:c>
      <x:c r="E3" s="8" t="n">
        <x:v>62000</x:v>
      </x:c>
      <x:c r="F3" s="8" t="n">
        <x:v>1900</x:v>
      </x:c>
      <x:c r="G3" s="8" t="n">
        <x:f>F3/E3*100</x:f>
        <x:v>3.064516129032258</x:v>
      </x:c>
      <x:c r="H3" s="8" t="n">
        <x:f>B3/E3*1000</x:f>
        <x:v>2.4193548387096775</x:v>
      </x:c>
      <x:c r="I3" s="8" t="n">
        <x:f>B3/F3</x:f>
        <x:v>0.07894736842105263</x:v>
      </x:c>
      <x:c r="J3" s="8" t="n">
        <x:v>1254</x:v>
      </x:c>
      <x:c r="K3" s="8" t="n">
        <x:f>B3/J3</x:f>
        <x:v>0.11961722488038277</x:v>
      </x:c>
      <x:c r="L3" s="8" t="n">
        <x:f>J3/F3*100</x:f>
        <x:v>66</x:v>
      </x:c>
      <x:c r="M3" s="9" t="str">
        <x:v>2025-01-06</x:v>
      </x:c>
      <x:c r="N3" s="9" t="str">
        <x:v>2025-01-12</x:v>
      </x:c>
    </x:row>
    <x:row r="4">
      <x:c r="A4" s="7" t="str">
        <x:v>PRODUCT GAMMA | T | CAMPAIGN-006</x:v>
      </x:c>
      <x:c r="B4" s="8" t="n">
        <x:v>80</x:v>
      </x:c>
      <x:c r="C4" s="8" t="n">
        <x:v>0</x:v>
      </x:c>
      <x:c r="D4" s="8" t="n">
        <x:v>0</x:v>
      </x:c>
      <x:c r="E4" s="8" t="n">
        <x:v>36000</x:v>
      </x:c>
      <x:c r="F4" s="8" t="n">
        <x:v>800</x:v>
      </x:c>
      <x:c r="G4" s="8" t="n">
        <x:f>F4/E4*100</x:f>
        <x:v>2.2222222222222223</x:v>
      </x:c>
      <x:c r="H4" s="8" t="n">
        <x:f>B4/E4*1000</x:f>
        <x:v>2.2222222222222223</x:v>
      </x:c>
      <x:c r="I4" s="8" t="n">
        <x:f>B4/F4</x:f>
        <x:v>0.1</x:v>
      </x:c>
      <x:c r="J4" s="8" t="n">
        <x:v>520</x:v>
      </x:c>
      <x:c r="K4" s="8" t="n">
        <x:f>B4/J4</x:f>
        <x:v>0.15384615384615385</x:v>
      </x:c>
      <x:c r="L4" s="8" t="n">
        <x:f>J4/F4*100</x:f>
        <x:v>65</x:v>
      </x:c>
      <x:c r="M4" s="9" t="str">
        <x:v>2025-01-06</x:v>
      </x:c>
      <x:c r="N4" s="9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