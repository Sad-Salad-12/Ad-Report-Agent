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d93cc73d9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384bba37657f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2d4be41cb4fcf" /><Relationship Type="http://schemas.openxmlformats.org/officeDocument/2006/relationships/theme" Target="/xl/theme/theme1.xml" Id="R5ec00523567e45ac" /><Relationship Type="http://schemas.openxmlformats.org/officeDocument/2006/relationships/sharedStrings" Target="/xl/sharedStrings.xml" Id="Rf8b27260eee947d8" /><Relationship Type="http://schemas.openxmlformats.org/officeDocument/2006/relationships/worksheet" Target="/xl/worksheets/sheet1.xml" Id="R384bba37657f470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PRODUCT ALPHA | C | CAMPAIGN-001</x:v>
      </x:c>
      <x:c r="B2" s="13" t="n">
        <x:v>1550</x:v>
      </x:c>
      <x:c r="C2" s="14" t="n">
        <x:v>3820</x:v>
      </x:c>
      <x:c r="D2" s="13" t="n">
        <x:f>C2/B2</x:f>
        <x:v>2.464516129032258</x:v>
      </x:c>
      <x:c r="E2" s="14" t="n">
        <x:v>22</x:v>
      </x:c>
      <x:c r="F2" s="14" t="n">
        <x:v>112</x:v>
      </x:c>
      <x:c r="G2" s="13" t="n">
        <x:f>B2/E2</x:f>
        <x:v>70.45454545454545</x:v>
      </x:c>
      <x:c r="H2" s="13" t="n">
        <x:f>B2/F2</x:f>
        <x:v>13.839285714285714</x:v>
      </x:c>
      <x:c r="I2" s="15" t="n">
        <x:v>0.00431373</x:v>
      </x:c>
      <x:c r="J2" s="15" t="n">
        <x:f>F2/L2</x:f>
        <x:v>0.02196078431372549</x:v>
      </x:c>
      <x:c r="K2" s="16" t="n">
        <x:v>520000</x:v>
      </x:c>
      <x:c r="L2" s="14" t="n">
        <x:v>5100</x:v>
      </x:c>
      <x:c r="M2" s="13" t="n">
        <x:f>L2/K2*100</x:f>
        <x:v>0.9807692307692307</x:v>
      </x:c>
      <x:c r="N2" s="13" t="n">
        <x:f>B2/K2*1000</x:f>
        <x:v>2.980769230769231</x:v>
      </x:c>
      <x:c r="O2" s="13" t="n">
        <x:f>B2/L2</x:f>
        <x:v>0.30392156862745096</x:v>
      </x:c>
      <x:c r="P2" s="13" t="n">
        <x:f>C2/E2</x:f>
        <x:v>173.63636363636363</x:v>
      </x:c>
      <x:c r="Q2" s="17" t="str">
        <x:v>2025-01-06</x:v>
      </x:c>
      <x:c r="R2" s="17" t="str">
        <x:v>2025-01-12</x:v>
      </x:c>
    </x:row>
    <x:row r="3">
      <x:c r="A3" s="12" t="str">
        <x:v>PRODUCT BETA | C | CAMPAIGN-002</x:v>
      </x:c>
      <x:c r="B3" s="13" t="n">
        <x:v>1150</x:v>
      </x:c>
      <x:c r="C3" s="14" t="n">
        <x:v>2300</x:v>
      </x:c>
      <x:c r="D3" s="13" t="n">
        <x:f>C3/B3</x:f>
        <x:v>2</x:v>
      </x:c>
      <x:c r="E3" s="14" t="n">
        <x:v>15</x:v>
      </x:c>
      <x:c r="F3" s="14" t="n">
        <x:v>88</x:v>
      </x:c>
      <x:c r="G3" s="13" t="n">
        <x:f>B3/E3</x:f>
        <x:v>76.66666666666667</x:v>
      </x:c>
      <x:c r="H3" s="13" t="n">
        <x:f>B3/F3</x:f>
        <x:v>13.068181818181818</x:v>
      </x:c>
      <x:c r="I3" s="15" t="n">
        <x:v>0.00394737</x:v>
      </x:c>
      <x:c r="J3" s="15" t="n">
        <x:f t="shared" ref="J3:J4" si="0">F3/L3</x:f>
        <x:v>0.023157894736842106</x:v>
      </x:c>
      <x:c r="K3" s="16" t="n">
        <x:v>390000</x:v>
      </x:c>
      <x:c r="L3" s="14" t="n">
        <x:v>3800</x:v>
      </x:c>
      <x:c r="M3" s="13" t="n">
        <x:f>L3/K3*100</x:f>
        <x:v>0.9743589743589745</x:v>
      </x:c>
      <x:c r="N3" s="13" t="n">
        <x:f>B3/K3*1000</x:f>
        <x:v>2.948717948717949</x:v>
      </x:c>
      <x:c r="O3" s="13" t="n">
        <x:f>B3/L3</x:f>
        <x:v>0.3026315789473684</x:v>
      </x:c>
      <x:c r="P3" s="13" t="n">
        <x:f>C3/E3</x:f>
        <x:v>153.33333333333334</x:v>
      </x:c>
      <x:c r="Q3" s="17" t="str">
        <x:v>2025-01-06</x:v>
      </x:c>
      <x:c r="R3" s="17" t="str">
        <x:v>2025-01-12</x:v>
      </x:c>
    </x:row>
    <x:row r="4">
      <x:c r="A4" s="12" t="str">
        <x:v>PRODUCT GAMMA | C | CAMPAIGN-003</x:v>
      </x:c>
      <x:c r="B4" s="13" t="n">
        <x:v>700</x:v>
      </x:c>
      <x:c r="C4" s="14" t="n">
        <x:v>1260</x:v>
      </x:c>
      <x:c r="D4" s="13" t="n">
        <x:f>C4/B4</x:f>
        <x:v>1.8</x:v>
      </x:c>
      <x:c r="E4" s="14" t="n">
        <x:v>7</x:v>
      </x:c>
      <x:c r="F4" s="14" t="n">
        <x:v>60</x:v>
      </x:c>
      <x:c r="G4" s="13" t="n">
        <x:f>B4/E4</x:f>
        <x:v>100</x:v>
      </x:c>
      <x:c r="H4" s="13" t="n">
        <x:f>B4/F4</x:f>
        <x:v>11.666666666666666</x:v>
      </x:c>
      <x:c r="I4" s="15" t="n">
        <x:v>0.00318182</x:v>
      </x:c>
      <x:c r="J4" s="15" t="n">
        <x:f t="shared" si="0">F4/L4</x:f>
        <x:v>0.02727272727272727</x:v>
      </x:c>
      <x:c r="K4" s="16" t="n">
        <x:v>245000</x:v>
      </x:c>
      <x:c r="L4" s="14" t="n">
        <x:v>2200</x:v>
      </x:c>
      <x:c r="M4" s="13" t="n">
        <x:f>L4/K4*100</x:f>
        <x:v>0.8979591836734694</x:v>
      </x:c>
      <x:c r="N4" s="13" t="n">
        <x:f>B4/K4*1000</x:f>
        <x:v>2.857142857142857</x:v>
      </x:c>
      <x:c r="O4" s="13" t="n">
        <x:f>B4/L4</x:f>
        <x:v>0.3181818181818182</x:v>
      </x:c>
      <x:c r="P4" s="13" t="n">
        <x:f>C4/E4</x:f>
        <x:v>180</x:v>
      </x:c>
      <x:c r="Q4" s="17" t="str">
        <x:v>2025-01-06</x:v>
      </x:c>
      <x:c r="R4" s="17" t="str">
        <x:v>2025-01-12</x:v>
      </x:c>
    </x:row>
    <x:row r="5">
      <x:c r="A5" s="12" t="str">
        <x:v>PRODUCT BETA | T | CAMPAIGN-004</x:v>
      </x:c>
      <x:c r="B5" s="13" t="n">
        <x:v>240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100000</x:v>
      </x:c>
      <x:c r="L5" s="14" t="n">
        <x:v>3000</x:v>
      </x:c>
      <x:c r="M5" s="13" t="n">
        <x:v>3</x:v>
      </x:c>
      <x:c r="N5" s="13" t="n">
        <x:v>2.4</x:v>
      </x:c>
      <x:c r="O5" s="13" t="n">
        <x:v>0.08</x:v>
      </x:c>
      <x:c r="P5" s="13"/>
      <x:c r="Q5" s="17" t="str">
        <x:v>2025-01-06</x:v>
      </x:c>
      <x:c r="R5" s="17" t="str">
        <x:v>2025-01-12</x:v>
      </x:c>
    </x:row>
    <x:row r="6">
      <x:c r="A6" s="12" t="str">
        <x:v>PRODUCT ALPHA | T | CAMPAIGN-005</x:v>
      </x:c>
      <x:c r="B6" s="13" t="n">
        <x:v>310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135000</x:v>
      </x:c>
      <x:c r="L6" s="14" t="n">
        <x:v>3800</x:v>
      </x:c>
      <x:c r="M6" s="13" t="n">
        <x:v>2.814815</x:v>
      </x:c>
      <x:c r="N6" s="13" t="n">
        <x:v>2.2962963</x:v>
      </x:c>
      <x:c r="O6" s="13" t="n">
        <x:v>0.08157895</x:v>
      </x:c>
      <x:c r="P6" s="13"/>
      <x:c r="Q6" s="17" t="str">
        <x:v>2025-01-06</x:v>
      </x:c>
      <x:c r="R6" s="17" t="str">
        <x:v>2025-01-12</x:v>
      </x:c>
    </x:row>
    <x:row r="7">
      <x:c r="A7" s="12" t="str">
        <x:v>PRODUCT GAMMA | T | CAMPAIGN-006</x:v>
      </x:c>
      <x:c r="B7" s="13" t="n">
        <x:v>150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70000</x:v>
      </x:c>
      <x:c r="L7" s="14" t="n">
        <x:v>1800</x:v>
      </x:c>
      <x:c r="M7" s="13" t="n">
        <x:v>2.571429</x:v>
      </x:c>
      <x:c r="N7" s="13" t="n">
        <x:v>2.14285714</x:v>
      </x:c>
      <x:c r="O7" s="13" t="n">
        <x:v>0.08333333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